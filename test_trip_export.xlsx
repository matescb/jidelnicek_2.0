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Denní plány" sheetId="2" state="visible" r:id="rId2"/>
    <sheet xmlns:r="http://schemas.openxmlformats.org/officeDocument/2006/relationships" name="Recepty" sheetId="3" state="visible" r:id="rId3"/>
    <sheet xmlns:r="http://schemas.openxmlformats.org/officeDocument/2006/relationships" name="Nákupní seznam" sheetId="4" state="visible" r:id="rId4"/>
    <sheet xmlns:r="http://schemas.openxmlformats.org/officeDocument/2006/relationships" name="Nutriční analýza" sheetId="5" state="visible" r:id="rId5"/>
    <sheet xmlns:r="http://schemas.openxmlformats.org/officeDocument/2006/relationships" name="Náklady" sheetId="6" state="visible" r:id="rId6"/>
  </sheets>
  <definedNames>
    <definedName name="_xlnm._FilterDatabase" localSheetId="1" hidden="1">'Denní plány'!$A$3:$G$8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&quot;Kč&quot;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2"/>
    </font>
    <font>
      <b val="1"/>
      <sz val="11"/>
    </font>
    <font>
      <b val="1"/>
      <sz val="14"/>
    </font>
    <font>
      <name val="Wingdings"/>
      <sz val="12"/>
    </font>
  </fonts>
  <fills count="10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  <fill>
      <patternFill patternType="solid">
        <fgColor rgb="00FFE5B4"/>
        <bgColor rgb="00FFE5B4"/>
      </patternFill>
    </fill>
    <fill>
      <patternFill patternType="solid">
        <fgColor rgb="00B4E5FF"/>
        <bgColor rgb="00B4E5FF"/>
      </patternFill>
    </fill>
    <fill>
      <patternFill patternType="solid">
        <fgColor rgb="00FFB4E5"/>
        <bgColor rgb="00FFB4E5"/>
      </patternFill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  <fill>
      <patternFill patternType="solid">
        <fgColor rgb="00E5F5FF"/>
        <bgColor rgb="00E5F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0" pivotButton="0" quotePrefix="0" xfId="0"/>
    <xf numFmtId="2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8" borderId="0" pivotButton="0" quotePrefix="0" xfId="0"/>
    <xf numFmtId="0" fontId="6" fillId="0" borderId="1" applyAlignment="1" pivotButton="0" quotePrefix="0" xfId="0">
      <alignment horizontal="center"/>
    </xf>
    <xf numFmtId="0" fontId="3" fillId="0" borderId="0" pivotButton="0" quotePrefix="0" xfId="0"/>
    <xf numFmtId="164" fontId="0" fillId="0" borderId="1" pivotButton="0" quotePrefix="0" xfId="0"/>
    <xf numFmtId="164" fontId="2" fillId="0" borderId="1" pivotButton="0" quotePrefix="0" xfId="0"/>
    <xf numFmtId="165" fontId="0" fillId="7" borderId="0" pivotButton="0" quotePrefix="0" xfId="0"/>
    <xf numFmtId="165" fontId="0" fillId="0" borderId="0" pivotButton="0" quotePrefix="0" xfId="0"/>
    <xf numFmtId="165" fontId="0" fillId="9" borderId="1" pivotButton="0" quotePrefix="0" xfId="0"/>
    <xf numFmtId="165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Rozložení makroživin</a:t>
            </a:r>
          </a:p>
        </rich>
      </tx>
    </title>
    <plotArea>
      <pieChart>
        <varyColors val="1"/>
        <ser>
          <idx val="0"/>
          <order val="0"/>
          <tx>
            <strRef>
              <f>'Nutriční analýza'!B14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'Nutriční analýza'!$A$15:$A$17</f>
            </numRef>
          </cat>
          <val>
            <numRef>
              <f>'Nutriční analýza'!$B$15:$B$17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Denní příjem kalorií</a:t>
            </a:r>
          </a:p>
        </rich>
      </tx>
    </title>
    <plotArea>
      <lineChart>
        <grouping val="standard"/>
        <ser>
          <idx val="0"/>
          <order val="0"/>
          <tx>
            <strRef>
              <f>'Nutriční analýza'!B5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'Nutriční analýza'!$A$6:$A$7</f>
            </numRef>
          </cat>
          <val>
            <numRef>
              <f>'Nutriční analýza'!$B$6:$B$7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Kalorie (kcal)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0" customWidth="1" min="3" max="3"/>
    <col width="20" customWidth="1" min="4" max="4"/>
    <col width="6" customWidth="1" min="5" max="5"/>
    <col width="6" customWidth="1" min="6" max="6"/>
  </cols>
  <sheetData>
    <row r="1">
      <c r="A1" s="1" t="inlineStr">
        <is>
          <t>Letní dovolená 2024</t>
        </is>
      </c>
    </row>
    <row r="2"/>
    <row r="3">
      <c r="A3" s="2" t="inlineStr">
        <is>
          <t>Datum začátku:</t>
        </is>
      </c>
      <c r="B3" t="inlineStr">
        <is>
          <t>12.07.2025</t>
        </is>
      </c>
    </row>
    <row r="4">
      <c r="A4" s="2" t="inlineStr">
        <is>
          <t>Datum konce:</t>
        </is>
      </c>
      <c r="B4" t="inlineStr">
        <is>
          <t>16.07.2025</t>
        </is>
      </c>
    </row>
    <row r="5">
      <c r="A5" s="2" t="inlineStr">
        <is>
          <t>Počet dní:</t>
        </is>
      </c>
      <c r="B5" t="n">
        <v>5</v>
      </c>
    </row>
    <row r="6">
      <c r="A6" s="2" t="inlineStr">
        <is>
          <t>Počet účastníků:</t>
        </is>
      </c>
      <c r="B6" t="n">
        <v>4</v>
      </c>
    </row>
    <row r="7">
      <c r="A7" s="2" t="inlineStr">
        <is>
          <t>Místo:</t>
        </is>
      </c>
      <c r="B7" t="inlineStr">
        <is>
          <t>Šumava</t>
        </is>
      </c>
    </row>
    <row r="8">
      <c r="A8" s="2" t="inlineStr">
        <is>
          <t>Typ výletu:</t>
        </is>
      </c>
      <c r="B8" t="inlineStr">
        <is>
          <t>Rodinný výlet</t>
        </is>
      </c>
    </row>
    <row r="9"/>
    <row r="10">
      <c r="A10" s="2" t="inlineStr">
        <is>
          <t>Popis:</t>
        </is>
      </c>
      <c r="B10" s="3" t="inlineStr">
        <is>
          <t>Rodinná dovolená v přírodě s turistikou a koupáním.</t>
        </is>
      </c>
    </row>
    <row r="11"/>
    <row r="12">
      <c r="A12" s="4" t="inlineStr">
        <is>
          <t>Účastníci</t>
        </is>
      </c>
    </row>
    <row r="13">
      <c r="A13" s="5" t="inlineStr">
        <is>
          <t>Jméno</t>
        </is>
      </c>
      <c r="B13" s="5" t="inlineStr">
        <is>
          <t>Věková skupina</t>
        </is>
      </c>
      <c r="C13" s="5" t="inlineStr">
        <is>
          <t>Dietní omezení</t>
        </is>
      </c>
      <c r="D13" s="5" t="inlineStr">
        <is>
          <t>Poznámky</t>
        </is>
      </c>
    </row>
    <row r="14">
      <c r="A14" s="6" t="inlineStr">
        <is>
          <t>Jan Novák</t>
        </is>
      </c>
      <c r="B14" s="6" t="inlineStr">
        <is>
          <t>Dospělý</t>
        </is>
      </c>
      <c r="C14" s="6" t="n"/>
      <c r="D14" s="6" t="inlineStr">
        <is>
          <t>Organizátor</t>
        </is>
      </c>
    </row>
    <row r="15">
      <c r="A15" s="6" t="inlineStr">
        <is>
          <t>Marie Nováková</t>
        </is>
      </c>
      <c r="B15" s="6" t="inlineStr">
        <is>
          <t>Dospělý</t>
        </is>
      </c>
      <c r="C15" s="6" t="inlineStr">
        <is>
          <t>vegetarian</t>
        </is>
      </c>
      <c r="D15" s="6" t="n"/>
    </row>
    <row r="16">
      <c r="A16" s="6" t="inlineStr">
        <is>
          <t>Tomáš Novák</t>
        </is>
      </c>
      <c r="B16" s="6" t="inlineStr">
        <is>
          <t>Teenager</t>
        </is>
      </c>
      <c r="C16" s="6" t="n"/>
      <c r="D16" s="6" t="n"/>
    </row>
    <row r="17">
      <c r="A17" s="6" t="inlineStr">
        <is>
          <t>Anna Nováková</t>
        </is>
      </c>
      <c r="B17" s="6" t="inlineStr">
        <is>
          <t>Dítě</t>
        </is>
      </c>
      <c r="C17" s="6" t="inlineStr">
        <is>
          <t>lactose_intolerant</t>
        </is>
      </c>
      <c r="D17" s="6" t="inlineStr">
        <is>
          <t>Alergie na laktózu</t>
        </is>
      </c>
    </row>
    <row r="18"/>
    <row r="19"/>
    <row r="20">
      <c r="A20" s="4" t="inlineStr">
        <is>
          <t>Statistiky</t>
        </is>
      </c>
    </row>
    <row r="21">
      <c r="A21" s="2" t="inlineStr">
        <is>
          <t>Celkem jídel:</t>
        </is>
      </c>
      <c r="B21" t="n">
        <v>5</v>
      </c>
    </row>
    <row r="22">
      <c r="A22" s="2" t="inlineStr">
        <is>
          <t>Unikátních receptů:</t>
        </is>
      </c>
      <c r="B22" t="n">
        <v>5</v>
      </c>
    </row>
    <row r="23">
      <c r="A23" s="2" t="inlineStr">
        <is>
          <t>Průměr jídel/den:</t>
        </is>
      </c>
      <c r="B23">
        <f>B22/B14</f>
        <v/>
      </c>
    </row>
  </sheetData>
  <mergeCells count="4">
    <mergeCell ref="A20:C20"/>
    <mergeCell ref="A12:D12"/>
    <mergeCell ref="B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9" customWidth="1" min="4" max="4"/>
    <col width="13" customWidth="1" min="5" max="5"/>
    <col width="7" customWidth="1" min="6" max="6"/>
    <col width="10" customWidth="1" min="7" max="7"/>
  </cols>
  <sheetData>
    <row r="1">
      <c r="A1" s="7" t="inlineStr">
        <is>
          <t>Denní plány jídel</t>
        </is>
      </c>
    </row>
    <row r="2"/>
    <row r="3">
      <c r="A3" s="5" t="inlineStr">
        <is>
          <t>Den</t>
        </is>
      </c>
      <c r="B3" s="5" t="inlineStr">
        <is>
          <t>Datum</t>
        </is>
      </c>
      <c r="C3" s="5" t="inlineStr">
        <is>
          <t>Typ jídla</t>
        </is>
      </c>
      <c r="D3" s="5" t="inlineStr">
        <is>
          <t>Recept</t>
        </is>
      </c>
      <c r="E3" s="5" t="inlineStr">
        <is>
          <t>Počet porcí</t>
        </is>
      </c>
      <c r="F3" s="5" t="inlineStr">
        <is>
          <t>Čas</t>
        </is>
      </c>
      <c r="G3" s="5" t="inlineStr">
        <is>
          <t>Poznámky</t>
        </is>
      </c>
    </row>
    <row r="4">
      <c r="A4" s="6" t="n">
        <v>1</v>
      </c>
      <c r="B4" s="6" t="inlineStr">
        <is>
          <t>12.07.2025</t>
        </is>
      </c>
      <c r="C4" s="8" t="inlineStr">
        <is>
          <t>Snídaně</t>
        </is>
      </c>
      <c r="D4" s="6" t="inlineStr">
        <is>
          <t>Ovesná kaše s ovocem</t>
        </is>
      </c>
      <c r="E4" s="6" t="n">
        <v>4</v>
      </c>
      <c r="F4" s="6" t="inlineStr">
        <is>
          <t>08:00</t>
        </is>
      </c>
      <c r="G4" s="6" t="inlineStr"/>
    </row>
    <row r="5">
      <c r="A5" s="6" t="n">
        <v>1</v>
      </c>
      <c r="B5" s="6" t="inlineStr">
        <is>
          <t>12.07.2025</t>
        </is>
      </c>
      <c r="C5" s="9" t="inlineStr">
        <is>
          <t>Oběd</t>
        </is>
      </c>
      <c r="D5" s="6" t="inlineStr">
        <is>
          <t>Těstovinový salát</t>
        </is>
      </c>
      <c r="E5" s="6" t="n">
        <v>4</v>
      </c>
      <c r="F5" s="6" t="inlineStr">
        <is>
          <t>12:30</t>
        </is>
      </c>
      <c r="G5" s="6" t="inlineStr"/>
    </row>
    <row r="6">
      <c r="A6" s="6" t="n">
        <v>1</v>
      </c>
      <c r="B6" s="6" t="inlineStr">
        <is>
          <t>12.07.2025</t>
        </is>
      </c>
      <c r="C6" s="10" t="inlineStr">
        <is>
          <t>Večeře</t>
        </is>
      </c>
      <c r="D6" s="6" t="inlineStr">
        <is>
          <t>Grilované kuře se zeleninou</t>
        </is>
      </c>
      <c r="E6" s="6" t="n">
        <v>4</v>
      </c>
      <c r="F6" s="6" t="inlineStr">
        <is>
          <t>18:00</t>
        </is>
      </c>
      <c r="G6" s="6" t="inlineStr"/>
    </row>
    <row r="7">
      <c r="A7" s="6" t="n">
        <v>2</v>
      </c>
      <c r="B7" s="6" t="inlineStr">
        <is>
          <t>13.07.2025</t>
        </is>
      </c>
      <c r="C7" s="8" t="inlineStr">
        <is>
          <t>Snídaně</t>
        </is>
      </c>
      <c r="D7" s="6" t="inlineStr">
        <is>
          <t>Míchaná vajíčka</t>
        </is>
      </c>
      <c r="E7" s="6" t="n">
        <v>4</v>
      </c>
      <c r="F7" s="6" t="inlineStr">
        <is>
          <t>08:00</t>
        </is>
      </c>
      <c r="G7" s="6" t="inlineStr"/>
    </row>
    <row r="8">
      <c r="A8" s="6" t="n">
        <v>2</v>
      </c>
      <c r="B8" s="6" t="inlineStr">
        <is>
          <t>13.07.2025</t>
        </is>
      </c>
      <c r="C8" s="9" t="inlineStr">
        <is>
          <t>Oběd</t>
        </is>
      </c>
      <c r="D8" s="6" t="inlineStr">
        <is>
          <t>Sendviče s tuňákem</t>
        </is>
      </c>
      <c r="E8" s="6" t="n">
        <v>4</v>
      </c>
      <c r="F8" s="6" t="inlineStr">
        <is>
          <t>12:00</t>
        </is>
      </c>
      <c r="G8" s="6" t="inlineStr"/>
    </row>
    <row r="9"/>
    <row r="10">
      <c r="A10" s="2" t="inlineStr">
        <is>
          <t>Celkem</t>
        </is>
      </c>
      <c r="D10" s="2">
        <f>COUNTA(D4:D8)</f>
        <v/>
      </c>
    </row>
  </sheetData>
  <autoFilter ref="A3:G8"/>
  <mergeCells count="2">
    <mergeCell ref="A10:C1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25" customWidth="1" min="4" max="4"/>
    <col width="21" customWidth="1" min="5" max="5"/>
    <col width="10" customWidth="1" min="6" max="6"/>
  </cols>
  <sheetData>
    <row r="1">
      <c r="A1" s="7" t="inlineStr">
        <is>
          <t>Recepty</t>
        </is>
      </c>
    </row>
    <row r="2"/>
    <row r="3">
      <c r="A3" t="inlineStr">
        <is>
          <t>Základní počet porcí:</t>
        </is>
      </c>
      <c r="B3" s="11" t="n">
        <v>4</v>
      </c>
      <c r="D3" t="inlineStr">
        <is>
          <t>Požadovaný počet porcí:</t>
        </is>
      </c>
      <c r="E3" s="11" t="n">
        <v>4</v>
      </c>
    </row>
    <row r="4"/>
    <row r="5">
      <c r="A5" s="4" t="inlineStr">
        <is>
          <t>Ovesná kaše s ovocem</t>
        </is>
      </c>
    </row>
    <row r="6">
      <c r="A6" t="inlineStr">
        <is>
          <t>Příprava: 5 min</t>
        </is>
      </c>
      <c r="C6" t="inlineStr">
        <is>
          <t>Vaření: 10 min</t>
        </is>
      </c>
      <c r="E6" t="inlineStr">
        <is>
          <t>Obtížnost: Snadné</t>
        </is>
      </c>
    </row>
    <row r="7"/>
    <row r="8">
      <c r="A8" s="2" t="inlineStr">
        <is>
          <t>Ingredience</t>
        </is>
      </c>
    </row>
    <row r="9">
      <c r="A9" s="5" t="inlineStr">
        <is>
          <t>Surovina</t>
        </is>
      </c>
      <c r="B9" s="5" t="inlineStr">
        <is>
          <t>Množství (základ)</t>
        </is>
      </c>
      <c r="C9" s="5" t="inlineStr">
        <is>
          <t>Jednotka</t>
        </is>
      </c>
      <c r="D9" s="5" t="inlineStr">
        <is>
          <t>Přepočet</t>
        </is>
      </c>
      <c r="E9" s="5" t="inlineStr">
        <is>
          <t>Množství (upravené)</t>
        </is>
      </c>
      <c r="F9" s="5" t="inlineStr">
        <is>
          <t>Poznámky</t>
        </is>
      </c>
    </row>
    <row r="10">
      <c r="A10" s="6" t="inlineStr">
        <is>
          <t>Ovesné vločky</t>
        </is>
      </c>
      <c r="B10" s="12" t="n">
        <v>200</v>
      </c>
      <c r="C10" s="6" t="inlineStr">
        <is>
          <t>g</t>
        </is>
      </c>
      <c r="D10" s="12">
        <f>$E$3/$B$3</f>
        <v/>
      </c>
      <c r="E10" s="12">
        <f>B10*D10</f>
        <v/>
      </c>
      <c r="F10" s="6" t="inlineStr"/>
    </row>
    <row r="11">
      <c r="A11" s="6" t="inlineStr">
        <is>
          <t>Mléko</t>
        </is>
      </c>
      <c r="B11" s="12" t="n">
        <v>500</v>
      </c>
      <c r="C11" s="6" t="inlineStr">
        <is>
          <t>ml</t>
        </is>
      </c>
      <c r="D11" s="12">
        <f>$E$3/$B$3</f>
        <v/>
      </c>
      <c r="E11" s="12">
        <f>B11*D11</f>
        <v/>
      </c>
      <c r="F11" s="6" t="inlineStr"/>
    </row>
    <row r="12">
      <c r="A12" s="6" t="inlineStr">
        <is>
          <t>Banány</t>
        </is>
      </c>
      <c r="B12" s="12" t="n">
        <v>2</v>
      </c>
      <c r="C12" s="6" t="inlineStr">
        <is>
          <t>ks</t>
        </is>
      </c>
      <c r="D12" s="12">
        <f>$E$3/$B$3</f>
        <v/>
      </c>
      <c r="E12" s="12">
        <f>B12*D12</f>
        <v/>
      </c>
      <c r="F12" s="6" t="inlineStr"/>
    </row>
    <row r="13">
      <c r="A13" s="6" t="inlineStr">
        <is>
          <t>Med</t>
        </is>
      </c>
      <c r="B13" s="12" t="n">
        <v>50</v>
      </c>
      <c r="C13" s="6" t="inlineStr">
        <is>
          <t>ml</t>
        </is>
      </c>
      <c r="D13" s="12">
        <f>$E$3/$B$3</f>
        <v/>
      </c>
      <c r="E13" s="12">
        <f>B13*D13</f>
        <v/>
      </c>
      <c r="F13" s="6" t="inlineStr"/>
    </row>
    <row r="14"/>
    <row r="15">
      <c r="A15" s="2" t="inlineStr">
        <is>
          <t>Postup</t>
        </is>
      </c>
    </row>
    <row r="16">
      <c r="A16" s="13" t="inlineStr">
        <is>
          <t>Vločky uvařte v mléce. Přidejte nakrájené banány a med.</t>
        </is>
      </c>
    </row>
    <row r="17"/>
    <row r="18"/>
    <row r="19"/>
    <row r="20"/>
    <row r="21"/>
    <row r="22">
      <c r="A22" s="4" t="inlineStr">
        <is>
          <t>Grilované kuře se zeleninou</t>
        </is>
      </c>
    </row>
    <row r="23">
      <c r="A23" t="inlineStr">
        <is>
          <t>Příprava: 20 min</t>
        </is>
      </c>
      <c r="C23" t="inlineStr">
        <is>
          <t>Vaření: 30 min</t>
        </is>
      </c>
      <c r="E23" t="inlineStr">
        <is>
          <t>Obtížnost: Střední</t>
        </is>
      </c>
    </row>
    <row r="24"/>
    <row r="25">
      <c r="A25" s="2" t="inlineStr">
        <is>
          <t>Ingredience</t>
        </is>
      </c>
    </row>
    <row r="26">
      <c r="A26" s="5" t="inlineStr">
        <is>
          <t>Surovina</t>
        </is>
      </c>
      <c r="B26" s="5" t="inlineStr">
        <is>
          <t>Množství (základ)</t>
        </is>
      </c>
      <c r="C26" s="5" t="inlineStr">
        <is>
          <t>Jednotka</t>
        </is>
      </c>
      <c r="D26" s="5" t="inlineStr">
        <is>
          <t>Přepočet</t>
        </is>
      </c>
      <c r="E26" s="5" t="inlineStr">
        <is>
          <t>Množství (upravené)</t>
        </is>
      </c>
      <c r="F26" s="5" t="inlineStr">
        <is>
          <t>Poznámky</t>
        </is>
      </c>
    </row>
    <row r="27">
      <c r="A27" s="6" t="inlineStr">
        <is>
          <t>Kuřecí prsa</t>
        </is>
      </c>
      <c r="B27" s="12" t="n">
        <v>800</v>
      </c>
      <c r="C27" s="6" t="inlineStr">
        <is>
          <t>g</t>
        </is>
      </c>
      <c r="D27" s="12">
        <f>$E$3/$B$3</f>
        <v/>
      </c>
      <c r="E27" s="12">
        <f>B27*D27</f>
        <v/>
      </c>
      <c r="F27" s="6" t="inlineStr"/>
    </row>
    <row r="28">
      <c r="A28" s="6" t="inlineStr">
        <is>
          <t>Papriky</t>
        </is>
      </c>
      <c r="B28" s="12" t="n">
        <v>3</v>
      </c>
      <c r="C28" s="6" t="inlineStr">
        <is>
          <t>ks</t>
        </is>
      </c>
      <c r="D28" s="12">
        <f>$E$3/$B$3</f>
        <v/>
      </c>
      <c r="E28" s="12">
        <f>B28*D28</f>
        <v/>
      </c>
      <c r="F28" s="6" t="inlineStr"/>
    </row>
    <row r="29">
      <c r="A29" s="6" t="inlineStr">
        <is>
          <t>Cuketa</t>
        </is>
      </c>
      <c r="B29" s="12" t="n">
        <v>1</v>
      </c>
      <c r="C29" s="6" t="inlineStr">
        <is>
          <t>ks</t>
        </is>
      </c>
      <c r="D29" s="12">
        <f>$E$3/$B$3</f>
        <v/>
      </c>
      <c r="E29" s="12">
        <f>B29*D29</f>
        <v/>
      </c>
      <c r="F29" s="6" t="inlineStr"/>
    </row>
    <row r="30">
      <c r="A30" s="6" t="inlineStr">
        <is>
          <t>Olivový olej</t>
        </is>
      </c>
      <c r="B30" s="12" t="n">
        <v>50</v>
      </c>
      <c r="C30" s="6" t="inlineStr">
        <is>
          <t>ml</t>
        </is>
      </c>
      <c r="D30" s="12">
        <f>$E$3/$B$3</f>
        <v/>
      </c>
      <c r="E30" s="12">
        <f>B30*D30</f>
        <v/>
      </c>
      <c r="F30" s="6" t="inlineStr"/>
    </row>
    <row r="31"/>
    <row r="32">
      <c r="A32" s="2" t="inlineStr">
        <is>
          <t>Postup</t>
        </is>
      </c>
    </row>
    <row r="33">
      <c r="A33" s="13" t="inlineStr">
        <is>
          <t>Kuře nakrájejte, osolte, opepřete. Grilujte se zeleninou.</t>
        </is>
      </c>
    </row>
    <row r="34"/>
    <row r="35"/>
    <row r="36"/>
  </sheetData>
  <mergeCells count="7">
    <mergeCell ref="A16:F19"/>
    <mergeCell ref="A33:F36"/>
    <mergeCell ref="A1:F1"/>
    <mergeCell ref="A5:F5"/>
    <mergeCell ref="A8:F8"/>
    <mergeCell ref="A22:F22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0" customWidth="1" min="4" max="4"/>
    <col width="16" customWidth="1" min="5" max="5"/>
  </cols>
  <sheetData>
    <row r="1">
      <c r="A1" s="7" t="inlineStr">
        <is>
          <t>Nákupní seznam</t>
        </is>
      </c>
    </row>
    <row r="2"/>
    <row r="3">
      <c r="A3" s="5" t="inlineStr">
        <is>
          <t>✓</t>
        </is>
      </c>
      <c r="B3" s="5" t="inlineStr">
        <is>
          <t>Položka</t>
        </is>
      </c>
      <c r="C3" s="5" t="inlineStr">
        <is>
          <t>Množství</t>
        </is>
      </c>
      <c r="D3" s="5" t="inlineStr">
        <is>
          <t>Jednotka</t>
        </is>
      </c>
      <c r="E3" s="5" t="inlineStr">
        <is>
          <t>Kategorie</t>
        </is>
      </c>
    </row>
    <row r="4">
      <c r="A4" s="14" t="inlineStr">
        <is>
          <t>Maso</t>
        </is>
      </c>
    </row>
    <row r="5">
      <c r="A5" s="15" t="inlineStr">
        <is>
          <t>☐</t>
        </is>
      </c>
      <c r="B5" s="6" t="inlineStr">
        <is>
          <t>Kuřecí prsa</t>
        </is>
      </c>
      <c r="C5" s="12" t="n">
        <v>800</v>
      </c>
      <c r="D5" s="6" t="inlineStr">
        <is>
          <t>g</t>
        </is>
      </c>
      <c r="E5" s="6" t="inlineStr">
        <is>
          <t>Maso</t>
        </is>
      </c>
    </row>
    <row r="6">
      <c r="A6" s="14" t="inlineStr">
        <is>
          <t>Mléčné výrobky</t>
        </is>
      </c>
    </row>
    <row r="7">
      <c r="A7" s="15" t="inlineStr">
        <is>
          <t>☐</t>
        </is>
      </c>
      <c r="B7" s="6" t="inlineStr">
        <is>
          <t>Mléko</t>
        </is>
      </c>
      <c r="C7" s="12" t="n">
        <v>500</v>
      </c>
      <c r="D7" s="6" t="inlineStr">
        <is>
          <t>ml</t>
        </is>
      </c>
      <c r="E7" s="6" t="inlineStr">
        <is>
          <t>Mléčné výrobky</t>
        </is>
      </c>
    </row>
    <row r="8">
      <c r="A8" s="14" t="inlineStr">
        <is>
          <t>Ostatní</t>
        </is>
      </c>
    </row>
    <row r="9">
      <c r="A9" s="15" t="inlineStr">
        <is>
          <t>☐</t>
        </is>
      </c>
      <c r="B9" s="6" t="inlineStr">
        <is>
          <t>Ovesné vločky</t>
        </is>
      </c>
      <c r="C9" s="12" t="n">
        <v>200</v>
      </c>
      <c r="D9" s="6" t="inlineStr">
        <is>
          <t>g</t>
        </is>
      </c>
      <c r="E9" s="6" t="inlineStr">
        <is>
          <t>Ostatní</t>
        </is>
      </c>
    </row>
    <row r="10">
      <c r="A10" s="15" t="inlineStr">
        <is>
          <t>☐</t>
        </is>
      </c>
      <c r="B10" s="6" t="inlineStr">
        <is>
          <t>Med</t>
        </is>
      </c>
      <c r="C10" s="12" t="n">
        <v>50</v>
      </c>
      <c r="D10" s="6" t="inlineStr">
        <is>
          <t>ml</t>
        </is>
      </c>
      <c r="E10" s="6" t="inlineStr">
        <is>
          <t>Ostatní</t>
        </is>
      </c>
    </row>
    <row r="11">
      <c r="A11" s="15" t="inlineStr">
        <is>
          <t>☐</t>
        </is>
      </c>
      <c r="B11" s="6" t="inlineStr">
        <is>
          <t>Olivový olej</t>
        </is>
      </c>
      <c r="C11" s="12" t="n">
        <v>50</v>
      </c>
      <c r="D11" s="6" t="inlineStr">
        <is>
          <t>ml</t>
        </is>
      </c>
      <c r="E11" s="6" t="inlineStr">
        <is>
          <t>Ostatní</t>
        </is>
      </c>
    </row>
    <row r="12">
      <c r="A12" s="14" t="inlineStr">
        <is>
          <t>Zelenina</t>
        </is>
      </c>
    </row>
    <row r="13">
      <c r="A13" s="15" t="inlineStr">
        <is>
          <t>☐</t>
        </is>
      </c>
      <c r="B13" s="6" t="inlineStr">
        <is>
          <t>Papriky</t>
        </is>
      </c>
      <c r="C13" s="12" t="n">
        <v>3</v>
      </c>
      <c r="D13" s="6" t="inlineStr">
        <is>
          <t>ks</t>
        </is>
      </c>
      <c r="E13" s="6" t="inlineStr">
        <is>
          <t>Zelenina</t>
        </is>
      </c>
    </row>
    <row r="14">
      <c r="A14" s="15" t="inlineStr">
        <is>
          <t>☐</t>
        </is>
      </c>
      <c r="B14" s="6" t="inlineStr">
        <is>
          <t>Cuketa</t>
        </is>
      </c>
      <c r="C14" s="12" t="n">
        <v>1</v>
      </c>
      <c r="D14" s="6" t="inlineStr">
        <is>
          <t>ks</t>
        </is>
      </c>
      <c r="E14" s="6" t="inlineStr">
        <is>
          <t>Zelenina</t>
        </is>
      </c>
    </row>
    <row r="15">
      <c r="A15" s="15" t="inlineStr">
        <is>
          <t>☐</t>
        </is>
      </c>
      <c r="B15" s="6" t="inlineStr">
        <is>
          <t>Banány</t>
        </is>
      </c>
      <c r="C15" s="12" t="n">
        <v>2</v>
      </c>
      <c r="D15" s="6" t="inlineStr">
        <is>
          <t>ks</t>
        </is>
      </c>
      <c r="E15" s="6" t="inlineStr">
        <is>
          <t>Zelenina</t>
        </is>
      </c>
    </row>
    <row r="16"/>
    <row r="17"/>
    <row r="18">
      <c r="A18" s="4" t="inlineStr">
        <is>
          <t>Souhrn</t>
        </is>
      </c>
    </row>
    <row r="19">
      <c r="A19" t="inlineStr">
        <is>
          <t>Celkem položek:</t>
        </is>
      </c>
      <c r="B19" s="2">
        <f>COUNTA(B4:B16)</f>
        <v/>
      </c>
    </row>
  </sheetData>
  <mergeCells count="6">
    <mergeCell ref="A12:E12"/>
    <mergeCell ref="A4:E4"/>
    <mergeCell ref="A18:C18"/>
    <mergeCell ref="A1:E1"/>
    <mergeCell ref="A8:E8"/>
    <mergeCell ref="A6:E6"/>
  </mergeCells>
  <dataValidations count="1">
    <dataValidation sqref="A5 A7 A9 A10 A11 A13 A14 A15" showDropDown="0" showInputMessage="0" showErrorMessage="0" allowBlank="1" errorTitle="Neplatná hodnota" error="Vyberte ☐ nebo ☑" type="list">
      <formula1>"☐,☑"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Nutriční analýza</t>
        </is>
      </c>
    </row>
    <row r="2"/>
    <row r="3">
      <c r="A3" s="16" t="inlineStr">
        <is>
          <t>Denní nutriční hodnoty</t>
        </is>
      </c>
    </row>
    <row r="4"/>
    <row r="5">
      <c r="A5" s="5" t="inlineStr">
        <is>
          <t>Den</t>
        </is>
      </c>
      <c r="B5" s="5" t="inlineStr">
        <is>
          <t>Kalorie (kcal)</t>
        </is>
      </c>
      <c r="C5" s="5" t="inlineStr">
        <is>
          <t>Bílkoviny (g)</t>
        </is>
      </c>
      <c r="D5" s="5" t="inlineStr">
        <is>
          <t>Sacharidy (g)</t>
        </is>
      </c>
      <c r="E5" s="5" t="inlineStr">
        <is>
          <t>Tuky (g)</t>
        </is>
      </c>
      <c r="F5" s="5" t="inlineStr">
        <is>
          <t>Vláknina (g)</t>
        </is>
      </c>
    </row>
    <row r="6">
      <c r="A6" s="6" t="inlineStr">
        <is>
          <t>Den 1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</row>
    <row r="7">
      <c r="A7" s="6" t="inlineStr">
        <is>
          <t>Den 2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</row>
    <row r="8"/>
    <row r="9">
      <c r="A9" s="2" t="inlineStr">
        <is>
          <t>Průměr</t>
        </is>
      </c>
      <c r="B9" s="18">
        <f>AVERAGE(B6:B7)</f>
        <v/>
      </c>
      <c r="C9" s="18">
        <f>AVERAGE(C6:C7)</f>
        <v/>
      </c>
      <c r="D9" s="18">
        <f>AVERAGE(D6:D7)</f>
        <v/>
      </c>
      <c r="E9" s="18">
        <f>AVERAGE(E6:E7)</f>
        <v/>
      </c>
      <c r="F9" s="18">
        <f>AVERAGE(F6:F7)</f>
        <v/>
      </c>
    </row>
    <row r="10"/>
    <row r="11"/>
    <row r="12">
      <c r="A12" s="16" t="inlineStr">
        <is>
          <t>Rozložení makroživin (průměr)</t>
        </is>
      </c>
    </row>
    <row r="13"/>
    <row r="14">
      <c r="A14" t="inlineStr">
        <is>
          <t>Živina</t>
        </is>
      </c>
      <c r="B14" t="inlineStr">
        <is>
          <t>Kalorie</t>
        </is>
      </c>
    </row>
    <row r="15">
      <c r="A15" t="inlineStr">
        <is>
          <t>Bílkoviny</t>
        </is>
      </c>
      <c r="B15">
        <f>C9*4</f>
        <v/>
      </c>
    </row>
    <row r="16">
      <c r="A16" t="inlineStr">
        <is>
          <t>Sacharidy</t>
        </is>
      </c>
      <c r="B16">
        <f>D9*4</f>
        <v/>
      </c>
    </row>
    <row r="17">
      <c r="A17" t="inlineStr">
        <is>
          <t>Tuky</t>
        </is>
      </c>
      <c r="B17">
        <f>E9*9</f>
        <v/>
      </c>
    </row>
    <row r="18"/>
    <row r="19"/>
    <row r="20"/>
    <row r="21"/>
    <row r="22"/>
    <row r="23"/>
    <row r="24"/>
    <row r="25"/>
    <row r="26"/>
    <row r="27">
      <c r="A27" s="16" t="inlineStr">
        <is>
          <t>Vývoj kalorií</t>
        </is>
      </c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0" customWidth="1" min="4" max="4"/>
    <col width="7" customWidth="1" min="5" max="5"/>
    <col width="6" customWidth="1" min="6" max="6"/>
  </cols>
  <sheetData>
    <row r="1">
      <c r="A1" s="7" t="inlineStr">
        <is>
          <t>Rozpočet a náklady</t>
        </is>
      </c>
    </row>
    <row r="2"/>
    <row r="3">
      <c r="A3" t="inlineStr">
        <is>
          <t>Celkový rozpočet:</t>
        </is>
      </c>
      <c r="B3" s="19" t="n">
        <v>0</v>
      </c>
      <c r="D3" t="inlineStr">
        <is>
          <t>Rozpočet na osobu:</t>
        </is>
      </c>
      <c r="E3" s="20">
        <f>B3/4</f>
        <v/>
      </c>
    </row>
    <row r="4"/>
    <row r="5">
      <c r="A5" s="4" t="inlineStr">
        <is>
          <t>Kategorie nákladů</t>
        </is>
      </c>
    </row>
    <row r="6">
      <c r="A6" s="5" t="inlineStr">
        <is>
          <t>Kategorie</t>
        </is>
      </c>
      <c r="B6" s="5" t="inlineStr">
        <is>
          <t>Plánované</t>
        </is>
      </c>
      <c r="C6" s="5" t="inlineStr">
        <is>
          <t>Skutečné</t>
        </is>
      </c>
      <c r="D6" s="5" t="inlineStr">
        <is>
          <t>Rozdíl</t>
        </is>
      </c>
    </row>
    <row r="7">
      <c r="A7" s="6" t="inlineStr">
        <is>
          <t>Potraviny</t>
        </is>
      </c>
      <c r="B7" s="21" t="n">
        <v>0</v>
      </c>
      <c r="C7" s="21" t="n">
        <v>0</v>
      </c>
      <c r="D7" s="22">
        <f>B7-C7</f>
        <v/>
      </c>
    </row>
    <row r="8">
      <c r="A8" s="6" t="inlineStr">
        <is>
          <t>Doprava</t>
        </is>
      </c>
      <c r="B8" s="21" t="n">
        <v>0</v>
      </c>
      <c r="C8" s="21" t="n">
        <v>0</v>
      </c>
      <c r="D8" s="22">
        <f>B8-C8</f>
        <v/>
      </c>
    </row>
    <row r="9">
      <c r="A9" s="6" t="inlineStr">
        <is>
          <t>Ubytování</t>
        </is>
      </c>
      <c r="B9" s="21" t="n">
        <v>0</v>
      </c>
      <c r="C9" s="21" t="n">
        <v>0</v>
      </c>
      <c r="D9" s="22">
        <f>B9-C9</f>
        <v/>
      </c>
    </row>
    <row r="10">
      <c r="A10" s="6" t="inlineStr">
        <is>
          <t>Aktivity</t>
        </is>
      </c>
      <c r="B10" s="21" t="n">
        <v>0</v>
      </c>
      <c r="C10" s="21" t="n">
        <v>0</v>
      </c>
      <c r="D10" s="22">
        <f>B10-C10</f>
        <v/>
      </c>
    </row>
    <row r="11">
      <c r="A11" s="6" t="inlineStr">
        <is>
          <t>Ostatní</t>
        </is>
      </c>
      <c r="B11" s="21" t="n">
        <v>0</v>
      </c>
      <c r="C11" s="21" t="n">
        <v>0</v>
      </c>
      <c r="D11" s="22">
        <f>B11-C11</f>
        <v/>
      </c>
    </row>
    <row r="12">
      <c r="A12" s="23" t="inlineStr">
        <is>
          <t>Celkem</t>
        </is>
      </c>
      <c r="B12" s="24">
        <f>SUM(B7:B11)</f>
        <v/>
      </c>
      <c r="C12" s="24">
        <f>SUM(C7:C11)</f>
        <v/>
      </c>
      <c r="D12" s="24">
        <f>B12-C12</f>
        <v/>
      </c>
    </row>
    <row r="13"/>
    <row r="14"/>
    <row r="15">
      <c r="A15" s="4" t="inlineStr">
        <is>
          <t>Náklady na osobu</t>
        </is>
      </c>
    </row>
    <row r="16">
      <c r="A16" t="inlineStr">
        <is>
          <t>Plánované na osobu:</t>
        </is>
      </c>
      <c r="B16" s="20">
        <f>B12/4</f>
        <v/>
      </c>
    </row>
    <row r="17">
      <c r="A17" t="inlineStr">
        <is>
          <t>Skutečné na osobu:</t>
        </is>
      </c>
      <c r="B17" s="20">
        <f>C12/4</f>
        <v/>
      </c>
    </row>
  </sheetData>
  <mergeCells count="3">
    <mergeCell ref="A15:C15"/>
    <mergeCell ref="A5:D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2025-07-12T17:50:05Z</dcterms:created>
  <dcterms:modified xmlns:dcterms="http://purl.org/dc/terms/" xmlns:xsi="http://www.w3.org/2001/XMLSchema-instance" xsi:type="dcterms:W3CDTF">2025-07-12T17:50:05Z</dcterms:modified>
</cp:coreProperties>
</file>